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umb-my.sharepoint.com/personal/matthew_peter_kent_nmbu_no/Documents/CIGENE work/Emne/Bio326/2026/Lab/"/>
    </mc:Choice>
  </mc:AlternateContent>
  <xr:revisionPtr revIDLastSave="219" documentId="8_{D4AFB7E9-A092-4433-B6E8-88581F170611}" xr6:coauthVersionLast="47" xr6:coauthVersionMax="47" xr10:uidLastSave="{F45E134F-70BF-42C6-AEE6-5DADC9AE69C6}"/>
  <bookViews>
    <workbookView xWindow="28680" yWindow="-120" windowWidth="29040" windowHeight="15720" xr2:uid="{5B7125A1-1FE8-4C66-9D1A-8C68F9A95F90}"/>
  </bookViews>
  <sheets>
    <sheet name="Values" sheetId="1" r:id="rId1"/>
    <sheet name="Gel Image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T18" i="1"/>
  <c r="T17" i="1"/>
  <c r="V16" i="1" s="1"/>
  <c r="W16" i="1" s="1"/>
  <c r="X16" i="1" s="1"/>
  <c r="T16" i="1"/>
  <c r="T21" i="1"/>
  <c r="T20" i="1"/>
  <c r="T26" i="1"/>
  <c r="T25" i="1"/>
  <c r="T24" i="1"/>
  <c r="T30" i="1"/>
  <c r="T29" i="1"/>
  <c r="V28" i="1" s="1"/>
  <c r="T28" i="1"/>
  <c r="T12" i="1"/>
  <c r="V12" i="1" s="1"/>
  <c r="W12" i="1" s="1"/>
  <c r="X12" i="1" s="1"/>
  <c r="T13" i="1"/>
  <c r="T10" i="1"/>
  <c r="T9" i="1"/>
  <c r="T8" i="1"/>
  <c r="T7" i="1"/>
  <c r="T6" i="1"/>
  <c r="T5" i="1"/>
  <c r="T4" i="1"/>
  <c r="V8" i="1"/>
  <c r="W8" i="1" s="1"/>
  <c r="X8" i="1" s="1"/>
  <c r="V24" i="1"/>
  <c r="W24" i="1" s="1"/>
  <c r="X24" i="1" s="1"/>
  <c r="V20" i="1"/>
  <c r="W20" i="1" s="1"/>
  <c r="X20" i="1" s="1"/>
  <c r="U34" i="1"/>
  <c r="W4" i="1"/>
  <c r="X4" i="1" s="1"/>
  <c r="V32" i="1" l="1"/>
  <c r="W28" i="1"/>
  <c r="X28" i="1" s="1"/>
  <c r="W32" i="1" l="1"/>
</calcChain>
</file>

<file path=xl/sharedStrings.xml><?xml version="1.0" encoding="utf-8"?>
<sst xmlns="http://schemas.openxmlformats.org/spreadsheetml/2006/main" count="279" uniqueCount="196">
  <si>
    <r>
      <t>9-Feb</t>
    </r>
    <r>
      <rPr>
        <vertAlign val="superscript"/>
        <sz val="11"/>
        <color theme="1"/>
        <rFont val="Calibri"/>
        <family val="2"/>
        <scheme val="minor"/>
      </rPr>
      <t>1</t>
    </r>
  </si>
  <si>
    <r>
      <t>9-Feb Nanodrop</t>
    </r>
    <r>
      <rPr>
        <vertAlign val="superscript"/>
        <sz val="11"/>
        <color theme="1"/>
        <rFont val="Calibri"/>
        <family val="2"/>
        <scheme val="minor"/>
      </rPr>
      <t>2</t>
    </r>
  </si>
  <si>
    <t>Group</t>
  </si>
  <si>
    <t>YOUR ID</t>
  </si>
  <si>
    <t>Qubit</t>
  </si>
  <si>
    <t>ng/ul</t>
  </si>
  <si>
    <t>260/280</t>
  </si>
  <si>
    <t>260/230</t>
  </si>
  <si>
    <r>
      <t>Qubit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ng/ul</t>
    </r>
  </si>
  <si>
    <t>Control /lambda DNA 100ng/ul</t>
  </si>
  <si>
    <t>115</t>
  </si>
  <si>
    <t>Sample ID</t>
  </si>
  <si>
    <t>Treatment</t>
  </si>
  <si>
    <t>Barcode ID</t>
  </si>
  <si>
    <t>Qubit after Barcoding (ng/ul)</t>
  </si>
  <si>
    <t>Qubit after Adapter Lig (ng/ul)</t>
  </si>
  <si>
    <t>Halvorsen, Ronja Aurora</t>
  </si>
  <si>
    <t>Group 1</t>
  </si>
  <si>
    <t>1-1</t>
  </si>
  <si>
    <t>1-A</t>
  </si>
  <si>
    <t>Needle</t>
  </si>
  <si>
    <t>NB02</t>
  </si>
  <si>
    <t>Larsen, Axel Heintz</t>
  </si>
  <si>
    <t>1-2</t>
  </si>
  <si>
    <t>1-B</t>
  </si>
  <si>
    <t>Vortex</t>
  </si>
  <si>
    <t>NB03</t>
  </si>
  <si>
    <t>Soderstrand-Hanssen, Amanda Kristin</t>
  </si>
  <si>
    <t>1-3</t>
  </si>
  <si>
    <t>1-C</t>
  </si>
  <si>
    <t>NB04</t>
  </si>
  <si>
    <t>Lægland, Oskar Solberg</t>
  </si>
  <si>
    <t>Group 2</t>
  </si>
  <si>
    <t>2-1</t>
  </si>
  <si>
    <t>too low</t>
  </si>
  <si>
    <t>2B</t>
  </si>
  <si>
    <t>1-D</t>
  </si>
  <si>
    <t>Crtl</t>
  </si>
  <si>
    <t>NB06</t>
  </si>
  <si>
    <t>Lund, Lena Alexandra</t>
  </si>
  <si>
    <t>2-2</t>
  </si>
  <si>
    <t>2C</t>
  </si>
  <si>
    <t>2-A</t>
  </si>
  <si>
    <t>NB07</t>
  </si>
  <si>
    <t>Nekemwene, Gloria John</t>
  </si>
  <si>
    <t>2-3</t>
  </si>
  <si>
    <t>2A</t>
  </si>
  <si>
    <t>2-B</t>
  </si>
  <si>
    <t>NB08</t>
  </si>
  <si>
    <t>Gulhaugen, Sofie</t>
  </si>
  <si>
    <t>Group 3</t>
  </si>
  <si>
    <t>3-1</t>
  </si>
  <si>
    <t>SG</t>
  </si>
  <si>
    <t>2-C</t>
  </si>
  <si>
    <t>NB10</t>
  </si>
  <si>
    <t>Hamza, Amir</t>
  </si>
  <si>
    <t>3-2</t>
  </si>
  <si>
    <t>AH</t>
  </si>
  <si>
    <t>2-D</t>
  </si>
  <si>
    <t>NB11</t>
  </si>
  <si>
    <t>Lam, Iselin Xuan Thanh</t>
  </si>
  <si>
    <t>3-3</t>
  </si>
  <si>
    <t>IL</t>
  </si>
  <si>
    <t>3-A</t>
  </si>
  <si>
    <t>NB14</t>
  </si>
  <si>
    <t>Pettersen, Anne Marie Øydne</t>
  </si>
  <si>
    <t>Group 4</t>
  </si>
  <si>
    <t>4-1</t>
  </si>
  <si>
    <t>AM</t>
  </si>
  <si>
    <t>3-B</t>
  </si>
  <si>
    <t>NB15</t>
  </si>
  <si>
    <t>Risholt, Daniel Emil</t>
  </si>
  <si>
    <t>4-2</t>
  </si>
  <si>
    <t>D</t>
  </si>
  <si>
    <t>3-C</t>
  </si>
  <si>
    <t>NB16</t>
  </si>
  <si>
    <t>Tharmarajah, Luxmiga</t>
  </si>
  <si>
    <t>4-3</t>
  </si>
  <si>
    <t>LT</t>
  </si>
  <si>
    <t>3-D</t>
  </si>
  <si>
    <t>NB17</t>
  </si>
  <si>
    <t>Henriksen, Martin</t>
  </si>
  <si>
    <t>Group 5</t>
  </si>
  <si>
    <t>5-1</t>
  </si>
  <si>
    <t>M</t>
  </si>
  <si>
    <t>4-A</t>
  </si>
  <si>
    <t>NB18</t>
  </si>
  <si>
    <t>Plioplys, Rytis</t>
  </si>
  <si>
    <t>5-2</t>
  </si>
  <si>
    <t>RP</t>
  </si>
  <si>
    <t>4-B</t>
  </si>
  <si>
    <t>NB19</t>
  </si>
  <si>
    <t>Timraz, Sarah</t>
  </si>
  <si>
    <t>5-3</t>
  </si>
  <si>
    <t>ST</t>
  </si>
  <si>
    <t>4-C</t>
  </si>
  <si>
    <t>Naustvik, Tuva Anine</t>
  </si>
  <si>
    <t>Group 6</t>
  </si>
  <si>
    <t>6-1</t>
  </si>
  <si>
    <t>T2</t>
  </si>
  <si>
    <t>4-D</t>
  </si>
  <si>
    <t>Nicholson, Daniel James</t>
  </si>
  <si>
    <t>6-2</t>
  </si>
  <si>
    <t>D2</t>
  </si>
  <si>
    <t>5-A</t>
  </si>
  <si>
    <t>Zhan, Lihui</t>
  </si>
  <si>
    <t>6-3</t>
  </si>
  <si>
    <t>LIHIU</t>
  </si>
  <si>
    <t>5-B</t>
  </si>
  <si>
    <t>Haug, Anne-Marie Hjelle</t>
  </si>
  <si>
    <t>Group 7</t>
  </si>
  <si>
    <t>7-1</t>
  </si>
  <si>
    <t>5-C</t>
  </si>
  <si>
    <t>Odei, Derrick Kwame</t>
  </si>
  <si>
    <t>7-2</t>
  </si>
  <si>
    <t>5-D</t>
  </si>
  <si>
    <t>Ostovari, Fatemeh</t>
  </si>
  <si>
    <t>7-3</t>
  </si>
  <si>
    <t>6-A</t>
  </si>
  <si>
    <t>6-B</t>
  </si>
  <si>
    <t>6-C</t>
  </si>
  <si>
    <t>6-D</t>
  </si>
  <si>
    <t>7-A</t>
  </si>
  <si>
    <t>1=Qubit Measurements taken by Technicians</t>
  </si>
  <si>
    <t>7-B</t>
  </si>
  <si>
    <t>2=Nanodrop + Qubit measurements taken by Technicians</t>
  </si>
  <si>
    <t>7-C</t>
  </si>
  <si>
    <r>
      <t xml:space="preserve">3=This is the conc (ng/ul) for the groups </t>
    </r>
    <r>
      <rPr>
        <u/>
        <sz val="11"/>
        <color theme="1"/>
        <rFont val="Calibri"/>
        <family val="2"/>
        <scheme val="minor"/>
      </rPr>
      <t>pooled</t>
    </r>
    <r>
      <rPr>
        <sz val="11"/>
        <color theme="1"/>
        <rFont val="Calibri"/>
        <family val="2"/>
        <scheme val="minor"/>
      </rPr>
      <t xml:space="preserve"> sample.</t>
    </r>
  </si>
  <si>
    <t>7-D</t>
  </si>
  <si>
    <r>
      <t xml:space="preserve">4=This is the conc (ng/ul) for each </t>
    </r>
    <r>
      <rPr>
        <u/>
        <sz val="11"/>
        <color theme="1"/>
        <rFont val="Calibri"/>
        <family val="2"/>
        <scheme val="minor"/>
      </rPr>
      <t>treated</t>
    </r>
    <r>
      <rPr>
        <sz val="11"/>
        <color theme="1"/>
        <rFont val="Calibri"/>
        <family val="2"/>
        <scheme val="minor"/>
      </rPr>
      <t xml:space="preserve"> sample after cleanup (last step of endprep, Day 2).</t>
    </r>
  </si>
  <si>
    <t>sample id</t>
  </si>
  <si>
    <t>qubit</t>
  </si>
  <si>
    <t>Nanodrop ng/ul</t>
  </si>
  <si>
    <t>DNA  loaded on the gel (ul)</t>
  </si>
  <si>
    <t>group number</t>
  </si>
  <si>
    <t>tube id</t>
  </si>
  <si>
    <t>51.6</t>
  </si>
  <si>
    <t>72.2</t>
  </si>
  <si>
    <t>65.4</t>
  </si>
  <si>
    <t>65.2</t>
  </si>
  <si>
    <t>93.4</t>
  </si>
  <si>
    <t>49.2</t>
  </si>
  <si>
    <t>53.0</t>
  </si>
  <si>
    <t>Lambda</t>
  </si>
  <si>
    <t>55.8</t>
  </si>
  <si>
    <t>76.4</t>
  </si>
  <si>
    <t>78.6</t>
  </si>
  <si>
    <t>57.4</t>
  </si>
  <si>
    <t>66.4</t>
  </si>
  <si>
    <t>47.2</t>
  </si>
  <si>
    <t>64.8</t>
  </si>
  <si>
    <t>71.2</t>
  </si>
  <si>
    <t>50.0</t>
  </si>
  <si>
    <t>43.4</t>
  </si>
  <si>
    <t>24.2</t>
  </si>
  <si>
    <t>29.2</t>
  </si>
  <si>
    <t>33.2</t>
  </si>
  <si>
    <t>23.0</t>
  </si>
  <si>
    <t>41.6</t>
  </si>
  <si>
    <t>59.8</t>
  </si>
  <si>
    <t>57.0</t>
  </si>
  <si>
    <t>79.6</t>
  </si>
  <si>
    <r>
      <t>Pooled conc</t>
    </r>
    <r>
      <rPr>
        <vertAlign val="superscript"/>
        <sz val="11"/>
        <color theme="1"/>
        <rFont val="Calibri"/>
        <family val="2"/>
        <scheme val="minor"/>
      </rPr>
      <t>3</t>
    </r>
  </si>
  <si>
    <t>Temp Xtreme</t>
  </si>
  <si>
    <t>Not done</t>
  </si>
  <si>
    <t>NB12</t>
  </si>
  <si>
    <t>NB13</t>
  </si>
  <si>
    <t>NB20</t>
  </si>
  <si>
    <t>NB01</t>
  </si>
  <si>
    <t>NB05</t>
  </si>
  <si>
    <t>NB09</t>
  </si>
  <si>
    <t>94.4</t>
  </si>
  <si>
    <t>8.28</t>
  </si>
  <si>
    <t>7.36</t>
  </si>
  <si>
    <t>9.12</t>
  </si>
  <si>
    <t>6.84</t>
  </si>
  <si>
    <t>4.04</t>
  </si>
  <si>
    <t>8,84</t>
  </si>
  <si>
    <t>4.62</t>
  </si>
  <si>
    <t>4.86</t>
  </si>
  <si>
    <t>6.48</t>
  </si>
  <si>
    <t>4.42</t>
  </si>
  <si>
    <t>6.9</t>
  </si>
  <si>
    <t>8.6 * 32=275</t>
  </si>
  <si>
    <t>275/20=13.7ng/barcode</t>
  </si>
  <si>
    <t>sum</t>
  </si>
  <si>
    <t>ng/barcode</t>
  </si>
  <si>
    <r>
      <t>High Sensitivity Qubit (ng/ul)</t>
    </r>
    <r>
      <rPr>
        <vertAlign val="superscript"/>
        <sz val="11"/>
        <color theme="1"/>
        <rFont val="Calibri"/>
        <family val="2"/>
        <scheme val="minor"/>
      </rPr>
      <t>5</t>
    </r>
  </si>
  <si>
    <t>5=This is conc (ng/ul) for your groups library after adapter ligation as measured by a lab technician using high sensitivity Qubit reagents</t>
  </si>
  <si>
    <t>13 Feb (info added by Technician)</t>
  </si>
  <si>
    <t>Approx ng of each barcode in 1 ul of lib</t>
  </si>
  <si>
    <t>13.7</t>
  </si>
  <si>
    <r>
      <t>desired mass of each barcode</t>
    </r>
    <r>
      <rPr>
        <vertAlign val="superscript"/>
        <sz val="11"/>
        <color theme="1"/>
        <rFont val="Calibri"/>
        <family val="2"/>
        <scheme val="minor"/>
      </rPr>
      <t>6</t>
    </r>
  </si>
  <si>
    <t>6=This value is calculated by multiplying the avg conc of the 7 libs (8.63 ng/ul) by the recommended total library volume (32ul) = 275ng total, and dividing this by the # of barcodes (20) to give the target mass per BC.</t>
  </si>
  <si>
    <t>Volume (ul) containing 13.7ng of BC</t>
  </si>
  <si>
    <t xml:space="preserve">Total ng lib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</si>
</sst>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16" fontId="0" fillId="3" borderId="0" xfId="0" applyNumberFormat="1" applyFill="1" applyAlignment="1">
      <alignment horizontal="center"/>
    </xf>
    <xf numFmtId="166" fontId="0" fillId="0" borderId="0" xfId="1" applyNumberFormat="1" applyFont="1"/>
    <xf numFmtId="0" fontId="0" fillId="2" borderId="0" xfId="0" applyFill="1" applyAlignment="1">
      <alignment horizontal="center" wrapText="1"/>
    </xf>
    <xf numFmtId="0" fontId="0" fillId="0" borderId="0" xfId="0" quotePrefix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16" fontId="0" fillId="4" borderId="0" xfId="0" applyNumberFormat="1" applyFill="1" applyAlignment="1">
      <alignment horizontal="center"/>
    </xf>
    <xf numFmtId="16" fontId="2" fillId="4" borderId="0" xfId="0" quotePrefix="1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" fontId="0" fillId="3" borderId="3" xfId="0" quotePrefix="1" applyNumberFormat="1" applyFill="1" applyBorder="1" applyAlignment="1">
      <alignment horizontal="center"/>
    </xf>
    <xf numFmtId="0" fontId="0" fillId="3" borderId="5" xfId="0" quotePrefix="1" applyFill="1" applyBorder="1" applyAlignment="1">
      <alignment horizontal="center"/>
    </xf>
    <xf numFmtId="165" fontId="0" fillId="0" borderId="0" xfId="0" applyNumberForma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" fontId="0" fillId="5" borderId="0" xfId="0" quotePrefix="1" applyNumberFormat="1" applyFill="1" applyAlignment="1">
      <alignment horizontal="center"/>
    </xf>
    <xf numFmtId="16" fontId="0" fillId="5" borderId="0" xfId="0" applyNumberFormat="1" applyFill="1" applyAlignment="1">
      <alignment horizontal="center"/>
    </xf>
    <xf numFmtId="16" fontId="2" fillId="5" borderId="0" xfId="0" quotePrefix="1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0" fillId="3" borderId="0" xfId="0" applyFill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4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7" fontId="0" fillId="2" borderId="1" xfId="0" quotePrefix="1" applyNumberFormat="1" applyFill="1" applyBorder="1" applyAlignment="1">
      <alignment horizontal="center" vertical="center"/>
    </xf>
    <xf numFmtId="17" fontId="0" fillId="2" borderId="4" xfId="0" quotePrefix="1" applyNumberForma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16" fontId="0" fillId="3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2" borderId="0" xfId="0" quotePrefix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" fontId="0" fillId="2" borderId="0" xfId="0" quotePrefix="1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4" xfId="0" quotePrefix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165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0" fontId="0" fillId="6" borderId="0" xfId="0" quotePrefix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/>
    </xf>
    <xf numFmtId="165" fontId="0" fillId="6" borderId="0" xfId="0" quotePrefix="1" applyNumberFormat="1" applyFill="1" applyBorder="1" applyAlignment="1">
      <alignment horizontal="center"/>
    </xf>
    <xf numFmtId="165" fontId="0" fillId="6" borderId="4" xfId="0" quotePrefix="1" applyNumberFormat="1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3" borderId="0" xfId="0" applyFill="1" applyBorder="1" applyAlignment="1">
      <alignment horizontal="center"/>
    </xf>
    <xf numFmtId="16" fontId="0" fillId="6" borderId="0" xfId="0" quotePrefix="1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207282</xdr:colOff>
      <xdr:row>0</xdr:row>
      <xdr:rowOff>92076</xdr:rowOff>
    </xdr:from>
    <xdr:to>
      <xdr:col>34</xdr:col>
      <xdr:colOff>369437</xdr:colOff>
      <xdr:row>41</xdr:row>
      <xdr:rowOff>163286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9D5C942-A48B-4C6D-A103-27C7BDD1D7A2}"/>
            </a:ext>
          </a:extLst>
        </xdr:cNvPr>
        <xdr:cNvGrpSpPr/>
      </xdr:nvGrpSpPr>
      <xdr:grpSpPr>
        <a:xfrm>
          <a:off x="15917182" y="92076"/>
          <a:ext cx="6258155" cy="7621360"/>
          <a:chOff x="8101481" y="174355"/>
          <a:chExt cx="6310635" cy="812084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B17BACA-AB4D-1A32-C48C-51EAA98D51C4}"/>
              </a:ext>
            </a:extLst>
          </xdr:cNvPr>
          <xdr:cNvGrpSpPr/>
        </xdr:nvGrpSpPr>
        <xdr:grpSpPr>
          <a:xfrm>
            <a:off x="8105291" y="178165"/>
            <a:ext cx="6308095" cy="8119579"/>
            <a:chOff x="8000329" y="223063"/>
            <a:chExt cx="6308095" cy="812084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99664994-3BF3-F165-5E20-96A64929B75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161" t="1025" r="33327"/>
            <a:stretch>
              <a:fillRect/>
            </a:stretch>
          </xdr:blipFill>
          <xdr:spPr bwMode="auto">
            <a:xfrm>
              <a:off x="8035270" y="223063"/>
              <a:ext cx="6193608" cy="812084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A50A6C-6732-F345-72B9-C381FECD04DB}"/>
                </a:ext>
              </a:extLst>
            </xdr:cNvPr>
            <xdr:cNvSpPr txBox="1"/>
          </xdr:nvSpPr>
          <xdr:spPr>
            <a:xfrm>
              <a:off x="8000329" y="2825081"/>
              <a:ext cx="749151" cy="3381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nb-NO" sz="1800" b="1">
                  <a:solidFill>
                    <a:srgbClr val="FFFF00"/>
                  </a:solidFill>
                </a:rPr>
                <a:t>20kb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D1D1592-09A4-3586-2730-0EBE85EF35E5}"/>
                </a:ext>
              </a:extLst>
            </xdr:cNvPr>
            <xdr:cNvSpPr txBox="1"/>
          </xdr:nvSpPr>
          <xdr:spPr>
            <a:xfrm>
              <a:off x="13453483" y="2701736"/>
              <a:ext cx="854941" cy="3038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nb-NO" sz="1800" b="1">
                  <a:solidFill>
                    <a:srgbClr val="FFFF00"/>
                  </a:solidFill>
                </a:rPr>
                <a:t>48.5kb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3254F9C-488B-F9EC-9930-17392BDAA3FA}"/>
              </a:ext>
            </a:extLst>
          </xdr:cNvPr>
          <xdr:cNvSpPr txBox="1"/>
        </xdr:nvSpPr>
        <xdr:spPr>
          <a:xfrm>
            <a:off x="9635789" y="950183"/>
            <a:ext cx="3594847" cy="374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nb-NO" sz="1800" b="1">
                <a:solidFill>
                  <a:schemeClr val="bg1"/>
                </a:solidFill>
              </a:rPr>
              <a:t>D2        LI          T2         7.1       7.2       7.3</a:t>
            </a:r>
          </a:p>
        </xdr:txBody>
      </xdr:sp>
    </xdr:grpSp>
    <xdr:clientData/>
  </xdr:twoCellAnchor>
  <xdr:twoCellAnchor>
    <xdr:from>
      <xdr:col>9</xdr:col>
      <xdr:colOff>605068</xdr:colOff>
      <xdr:row>0</xdr:row>
      <xdr:rowOff>0</xdr:rowOff>
    </xdr:from>
    <xdr:to>
      <xdr:col>24</xdr:col>
      <xdr:colOff>26050</xdr:colOff>
      <xdr:row>42</xdr:row>
      <xdr:rowOff>432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7D1212A-117F-49F4-B811-03DB75694DBC}"/>
            </a:ext>
          </a:extLst>
        </xdr:cNvPr>
        <xdr:cNvGrpSpPr/>
      </xdr:nvGrpSpPr>
      <xdr:grpSpPr>
        <a:xfrm>
          <a:off x="7170968" y="0"/>
          <a:ext cx="8564982" cy="7734732"/>
          <a:chOff x="14794251" y="301578"/>
          <a:chExt cx="8636807" cy="7591857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C361A5E-F56C-9D72-A51F-7E7B1E97A9A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792" t="-30" r="28608" b="7382"/>
          <a:stretch>
            <a:fillRect/>
          </a:stretch>
        </xdr:blipFill>
        <xdr:spPr bwMode="auto">
          <a:xfrm>
            <a:off x="14845520" y="301578"/>
            <a:ext cx="8496034" cy="75918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69BBCC0-9BBE-79E6-A462-BEAF8E4E8A41}"/>
              </a:ext>
            </a:extLst>
          </xdr:cNvPr>
          <xdr:cNvSpPr txBox="1"/>
        </xdr:nvSpPr>
        <xdr:spPr>
          <a:xfrm>
            <a:off x="14794251" y="2451176"/>
            <a:ext cx="752961" cy="3368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nb-NO" sz="1800" b="1">
                <a:solidFill>
                  <a:srgbClr val="FFFF00"/>
                </a:solidFill>
              </a:rPr>
              <a:t>20kb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7529FE9-62F5-C030-AF06-1F76FFF597A3}"/>
              </a:ext>
            </a:extLst>
          </xdr:cNvPr>
          <xdr:cNvSpPr txBox="1"/>
        </xdr:nvSpPr>
        <xdr:spPr>
          <a:xfrm>
            <a:off x="22559607" y="2432645"/>
            <a:ext cx="871451" cy="2796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nb-NO" sz="1800" b="1">
                <a:solidFill>
                  <a:srgbClr val="FFFF00"/>
                </a:solidFill>
              </a:rPr>
              <a:t>48.5kb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F6D7ADA-AA08-B6CD-B4EA-A9F9B6940D23}"/>
              </a:ext>
            </a:extLst>
          </xdr:cNvPr>
          <xdr:cNvSpPr txBox="1"/>
        </xdr:nvSpPr>
        <xdr:spPr>
          <a:xfrm>
            <a:off x="15678000" y="1319007"/>
            <a:ext cx="7116632" cy="356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nb-NO" sz="1800" b="1">
                <a:solidFill>
                  <a:schemeClr val="bg1"/>
                </a:solidFill>
              </a:rPr>
              <a:t>  1.1    1.2   1.3    2A     2B    2C    AH     IL     SG    AM     LT     D      ST     M     RP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E76E-F1EB-4457-B833-15C14C706882}">
  <dimension ref="B1:X48"/>
  <sheetViews>
    <sheetView tabSelected="1" zoomScale="85" zoomScaleNormal="85" workbookViewId="0">
      <selection activeCell="I26" sqref="I26"/>
    </sheetView>
  </sheetViews>
  <sheetFormatPr defaultRowHeight="14.5" x14ac:dyDescent="0.35"/>
  <cols>
    <col min="2" max="2" width="23.81640625" customWidth="1"/>
    <col min="3" max="3" width="9.54296875" style="1" customWidth="1"/>
    <col min="4" max="4" width="10.54296875" style="1" customWidth="1"/>
    <col min="5" max="6" width="10.453125" style="1" customWidth="1"/>
    <col min="7" max="8" width="8.81640625" style="1"/>
    <col min="9" max="9" width="9.1796875" style="1" customWidth="1"/>
    <col min="10" max="10" width="10.1796875" style="1" customWidth="1"/>
    <col min="12" max="12" width="7.90625" bestFit="1" customWidth="1"/>
    <col min="13" max="13" width="9.54296875" bestFit="1" customWidth="1"/>
    <col min="14" max="14" width="12.36328125" bestFit="1" customWidth="1"/>
    <col min="15" max="15" width="13" bestFit="1" customWidth="1"/>
    <col min="16" max="16" width="12.1796875" customWidth="1"/>
    <col min="17" max="19" width="12" customWidth="1"/>
    <col min="20" max="24" width="11.6328125" customWidth="1"/>
  </cols>
  <sheetData>
    <row r="1" spans="2:24" ht="16.5" x14ac:dyDescent="0.35">
      <c r="E1" s="20">
        <v>46059</v>
      </c>
      <c r="F1" s="38" t="s">
        <v>0</v>
      </c>
      <c r="G1" s="64" t="s">
        <v>1</v>
      </c>
      <c r="H1" s="64"/>
      <c r="I1" s="64"/>
      <c r="J1" s="15">
        <v>46064</v>
      </c>
      <c r="L1" s="60">
        <v>46064</v>
      </c>
      <c r="M1" s="60"/>
      <c r="N1" s="60"/>
      <c r="O1" s="60"/>
      <c r="P1" s="61">
        <v>45701</v>
      </c>
      <c r="Q1" s="61"/>
      <c r="R1" s="61"/>
      <c r="S1" s="65" t="s">
        <v>189</v>
      </c>
      <c r="T1" s="65"/>
      <c r="U1" s="65"/>
      <c r="V1" s="65"/>
      <c r="W1" s="65"/>
      <c r="X1" s="65"/>
    </row>
    <row r="2" spans="2:24" ht="60" x14ac:dyDescent="0.35">
      <c r="C2" s="1" t="s">
        <v>2</v>
      </c>
      <c r="D2" s="1" t="s">
        <v>3</v>
      </c>
      <c r="E2" s="20" t="s">
        <v>4</v>
      </c>
      <c r="F2" s="39" t="s">
        <v>4</v>
      </c>
      <c r="G2" s="22" t="s">
        <v>5</v>
      </c>
      <c r="H2" s="22" t="s">
        <v>6</v>
      </c>
      <c r="I2" s="22" t="s">
        <v>7</v>
      </c>
      <c r="J2" s="43" t="s">
        <v>162</v>
      </c>
      <c r="L2" s="47"/>
      <c r="M2" s="47" t="s">
        <v>11</v>
      </c>
      <c r="N2" s="47" t="s">
        <v>12</v>
      </c>
      <c r="O2" s="5" t="s">
        <v>8</v>
      </c>
      <c r="P2" s="14" t="s">
        <v>13</v>
      </c>
      <c r="Q2" s="17" t="s">
        <v>14</v>
      </c>
      <c r="R2" s="17" t="s">
        <v>15</v>
      </c>
      <c r="S2" s="66" t="s">
        <v>187</v>
      </c>
      <c r="T2" s="67"/>
      <c r="U2" s="67"/>
      <c r="V2" s="67"/>
      <c r="W2" s="67"/>
      <c r="X2" s="67"/>
    </row>
    <row r="3" spans="2:24" ht="58.5" thickBot="1" x14ac:dyDescent="0.4">
      <c r="B3" s="11" t="s">
        <v>9</v>
      </c>
      <c r="C3" s="12"/>
      <c r="D3" s="12"/>
      <c r="E3" s="21" t="s">
        <v>10</v>
      </c>
      <c r="F3" s="40" t="s">
        <v>5</v>
      </c>
      <c r="G3" s="23"/>
      <c r="H3" s="23"/>
      <c r="I3" s="23"/>
      <c r="J3" s="44">
        <v>112</v>
      </c>
      <c r="L3" s="36" t="s">
        <v>143</v>
      </c>
      <c r="M3" s="36"/>
      <c r="N3" s="36"/>
      <c r="O3" s="36">
        <v>111</v>
      </c>
      <c r="P3" s="37"/>
      <c r="Q3" s="37" t="s">
        <v>171</v>
      </c>
      <c r="R3" s="37"/>
      <c r="S3" s="68"/>
      <c r="T3" s="66" t="s">
        <v>190</v>
      </c>
      <c r="U3" s="66" t="s">
        <v>192</v>
      </c>
      <c r="V3" s="66" t="s">
        <v>194</v>
      </c>
      <c r="W3" s="66" t="s">
        <v>195</v>
      </c>
      <c r="X3" s="66" t="s">
        <v>186</v>
      </c>
    </row>
    <row r="4" spans="2:24" x14ac:dyDescent="0.35">
      <c r="B4" s="8" t="s">
        <v>16</v>
      </c>
      <c r="C4" s="6" t="s">
        <v>17</v>
      </c>
      <c r="D4" s="2" t="s">
        <v>18</v>
      </c>
      <c r="E4" s="27">
        <v>91</v>
      </c>
      <c r="F4" s="41">
        <v>174</v>
      </c>
      <c r="G4" s="41">
        <v>218.4</v>
      </c>
      <c r="H4" s="41">
        <v>1.84</v>
      </c>
      <c r="I4" s="41">
        <v>1.06</v>
      </c>
      <c r="J4" s="45"/>
      <c r="L4" s="48" t="s">
        <v>17</v>
      </c>
      <c r="M4" s="49" t="s">
        <v>19</v>
      </c>
      <c r="N4" s="49" t="s">
        <v>20</v>
      </c>
      <c r="O4" s="30" t="s">
        <v>158</v>
      </c>
      <c r="P4" s="53" t="s">
        <v>168</v>
      </c>
      <c r="Q4" s="58" t="s">
        <v>178</v>
      </c>
      <c r="R4" s="62" t="s">
        <v>34</v>
      </c>
      <c r="S4" s="72">
        <v>6.08</v>
      </c>
      <c r="T4" s="82">
        <f>S4/4</f>
        <v>1.52</v>
      </c>
      <c r="U4" s="87" t="s">
        <v>191</v>
      </c>
      <c r="V4" s="79">
        <f>13.7/T5</f>
        <v>9.0131578947368407</v>
      </c>
      <c r="W4" s="79">
        <f>V4*S4</f>
        <v>54.79999999999999</v>
      </c>
      <c r="X4" s="83">
        <f>W4/4</f>
        <v>13.699999999999998</v>
      </c>
    </row>
    <row r="5" spans="2:24" x14ac:dyDescent="0.35">
      <c r="B5" s="9" t="s">
        <v>22</v>
      </c>
      <c r="C5" t="s">
        <v>17</v>
      </c>
      <c r="D5" s="18" t="s">
        <v>23</v>
      </c>
      <c r="E5" s="28">
        <v>135</v>
      </c>
      <c r="F5" s="22">
        <v>141</v>
      </c>
      <c r="G5" s="22">
        <v>204.3</v>
      </c>
      <c r="H5" s="22">
        <v>1.89</v>
      </c>
      <c r="I5" s="22">
        <v>0.83</v>
      </c>
      <c r="J5" s="46" t="s">
        <v>139</v>
      </c>
      <c r="L5" s="50"/>
      <c r="M5" s="47" t="s">
        <v>24</v>
      </c>
      <c r="N5" s="47" t="s">
        <v>25</v>
      </c>
      <c r="O5" s="31" t="s">
        <v>156</v>
      </c>
      <c r="P5" s="54" t="s">
        <v>21</v>
      </c>
      <c r="Q5" s="69"/>
      <c r="R5" s="70"/>
      <c r="S5" s="73"/>
      <c r="T5" s="77">
        <f>S4/4</f>
        <v>1.52</v>
      </c>
      <c r="U5" s="88" t="s">
        <v>191</v>
      </c>
      <c r="V5" s="80"/>
      <c r="W5" s="80"/>
      <c r="X5" s="84"/>
    </row>
    <row r="6" spans="2:24" ht="15" thickBot="1" x14ac:dyDescent="0.4">
      <c r="B6" s="10" t="s">
        <v>27</v>
      </c>
      <c r="C6" s="7" t="s">
        <v>17</v>
      </c>
      <c r="D6" s="3" t="s">
        <v>28</v>
      </c>
      <c r="E6" s="29">
        <v>129</v>
      </c>
      <c r="F6" s="42">
        <v>178</v>
      </c>
      <c r="G6" s="42">
        <v>256.8</v>
      </c>
      <c r="H6" s="42">
        <v>1.86</v>
      </c>
      <c r="I6" s="42">
        <v>1.19</v>
      </c>
      <c r="J6" s="34"/>
      <c r="L6" s="50"/>
      <c r="M6" s="47" t="s">
        <v>29</v>
      </c>
      <c r="N6" s="47" t="s">
        <v>163</v>
      </c>
      <c r="O6" s="31" t="s">
        <v>157</v>
      </c>
      <c r="P6" s="54" t="s">
        <v>26</v>
      </c>
      <c r="Q6" s="69"/>
      <c r="R6" s="70"/>
      <c r="S6" s="73"/>
      <c r="T6" s="77">
        <f>S4/4</f>
        <v>1.52</v>
      </c>
      <c r="U6" s="88" t="s">
        <v>191</v>
      </c>
      <c r="V6" s="80"/>
      <c r="W6" s="80"/>
      <c r="X6" s="84"/>
    </row>
    <row r="7" spans="2:24" ht="15" thickBot="1" x14ac:dyDescent="0.4">
      <c r="B7" s="9" t="s">
        <v>31</v>
      </c>
      <c r="C7" t="s">
        <v>32</v>
      </c>
      <c r="D7" s="26" t="s">
        <v>33</v>
      </c>
      <c r="E7" s="28" t="s">
        <v>34</v>
      </c>
      <c r="F7" s="22" t="s">
        <v>34</v>
      </c>
      <c r="G7" s="22">
        <v>2.4</v>
      </c>
      <c r="H7" s="22">
        <v>1.53</v>
      </c>
      <c r="I7" s="22">
        <v>3.94</v>
      </c>
      <c r="J7" s="46"/>
      <c r="L7" s="51"/>
      <c r="M7" s="52" t="s">
        <v>36</v>
      </c>
      <c r="N7" s="52" t="s">
        <v>37</v>
      </c>
      <c r="O7" s="34" t="s">
        <v>155</v>
      </c>
      <c r="P7" s="54" t="s">
        <v>30</v>
      </c>
      <c r="Q7" s="69"/>
      <c r="R7" s="70"/>
      <c r="S7" s="73"/>
      <c r="T7" s="77">
        <f>S4/4</f>
        <v>1.52</v>
      </c>
      <c r="U7" s="88" t="s">
        <v>191</v>
      </c>
      <c r="V7" s="80"/>
      <c r="W7" s="80"/>
      <c r="X7" s="84"/>
    </row>
    <row r="8" spans="2:24" x14ac:dyDescent="0.35">
      <c r="B8" s="9" t="s">
        <v>39</v>
      </c>
      <c r="C8" t="s">
        <v>32</v>
      </c>
      <c r="D8" s="18" t="s">
        <v>40</v>
      </c>
      <c r="E8" s="28" t="s">
        <v>34</v>
      </c>
      <c r="F8" s="22" t="s">
        <v>34</v>
      </c>
      <c r="G8" s="22">
        <v>3.7</v>
      </c>
      <c r="H8" s="22">
        <v>1.6</v>
      </c>
      <c r="I8" s="22">
        <v>0.44</v>
      </c>
      <c r="J8" s="46" t="s">
        <v>138</v>
      </c>
      <c r="L8" s="50" t="s">
        <v>32</v>
      </c>
      <c r="M8" s="47" t="s">
        <v>42</v>
      </c>
      <c r="N8" s="47" t="s">
        <v>20</v>
      </c>
      <c r="O8" s="93" t="s">
        <v>150</v>
      </c>
      <c r="P8" s="53" t="s">
        <v>169</v>
      </c>
      <c r="Q8" s="56" t="s">
        <v>172</v>
      </c>
      <c r="R8" s="58" t="s">
        <v>179</v>
      </c>
      <c r="S8" s="72">
        <v>8.32</v>
      </c>
      <c r="T8" s="82">
        <f>S8/3</f>
        <v>2.7733333333333334</v>
      </c>
      <c r="U8" s="87" t="s">
        <v>191</v>
      </c>
      <c r="V8" s="79">
        <f>13.7/T8</f>
        <v>4.9399038461538458</v>
      </c>
      <c r="W8" s="79">
        <f>V8*S8</f>
        <v>41.1</v>
      </c>
      <c r="X8" s="83">
        <f>W8/3</f>
        <v>13.700000000000001</v>
      </c>
    </row>
    <row r="9" spans="2:24" ht="15" thickBot="1" x14ac:dyDescent="0.4">
      <c r="B9" s="9" t="s">
        <v>44</v>
      </c>
      <c r="C9" t="s">
        <v>32</v>
      </c>
      <c r="D9" s="18" t="s">
        <v>45</v>
      </c>
      <c r="E9" s="28">
        <v>23</v>
      </c>
      <c r="F9" s="22">
        <v>24.8</v>
      </c>
      <c r="G9" s="22">
        <v>32.799999999999997</v>
      </c>
      <c r="H9" s="22">
        <v>1.86</v>
      </c>
      <c r="I9" s="22">
        <v>1.58</v>
      </c>
      <c r="J9" s="46"/>
      <c r="L9" s="50"/>
      <c r="M9" s="47" t="s">
        <v>47</v>
      </c>
      <c r="N9" s="47" t="s">
        <v>25</v>
      </c>
      <c r="O9" s="93" t="s">
        <v>151</v>
      </c>
      <c r="P9" s="54" t="s">
        <v>38</v>
      </c>
      <c r="Q9" s="71"/>
      <c r="R9" s="69"/>
      <c r="S9" s="73"/>
      <c r="T9" s="77">
        <f>S8/3</f>
        <v>2.7733333333333334</v>
      </c>
      <c r="U9" s="88" t="s">
        <v>191</v>
      </c>
      <c r="V9" s="80"/>
      <c r="W9" s="80"/>
      <c r="X9" s="84"/>
    </row>
    <row r="10" spans="2:24" x14ac:dyDescent="0.35">
      <c r="B10" s="8" t="s">
        <v>49</v>
      </c>
      <c r="C10" s="6" t="s">
        <v>50</v>
      </c>
      <c r="D10" s="4" t="s">
        <v>51</v>
      </c>
      <c r="E10" s="27">
        <v>82</v>
      </c>
      <c r="F10" s="41">
        <v>158</v>
      </c>
      <c r="G10" s="41">
        <v>213.7</v>
      </c>
      <c r="H10" s="41">
        <v>1.86</v>
      </c>
      <c r="I10" s="41">
        <v>1.87</v>
      </c>
      <c r="J10" s="45"/>
      <c r="L10" s="50"/>
      <c r="M10" s="47" t="s">
        <v>53</v>
      </c>
      <c r="N10" s="47" t="s">
        <v>163</v>
      </c>
      <c r="O10" s="93" t="s">
        <v>152</v>
      </c>
      <c r="P10" s="54" t="s">
        <v>43</v>
      </c>
      <c r="Q10" s="71"/>
      <c r="R10" s="69"/>
      <c r="S10" s="73"/>
      <c r="T10" s="77">
        <f>S8/3</f>
        <v>2.7733333333333334</v>
      </c>
      <c r="U10" s="88" t="s">
        <v>191</v>
      </c>
      <c r="V10" s="80"/>
      <c r="W10" s="80"/>
      <c r="X10" s="84"/>
    </row>
    <row r="11" spans="2:24" ht="15" thickBot="1" x14ac:dyDescent="0.4">
      <c r="B11" s="9" t="s">
        <v>55</v>
      </c>
      <c r="C11" t="s">
        <v>50</v>
      </c>
      <c r="D11" s="18" t="s">
        <v>56</v>
      </c>
      <c r="E11" s="28">
        <v>84</v>
      </c>
      <c r="F11" s="22">
        <v>147</v>
      </c>
      <c r="G11" s="22">
        <v>204.2</v>
      </c>
      <c r="H11" s="22">
        <v>1.93</v>
      </c>
      <c r="I11" s="22">
        <v>0.86</v>
      </c>
      <c r="J11" s="46" t="s">
        <v>140</v>
      </c>
      <c r="L11" s="50"/>
      <c r="M11" s="47" t="s">
        <v>58</v>
      </c>
      <c r="N11" s="47" t="s">
        <v>37</v>
      </c>
      <c r="O11" s="93" t="s">
        <v>164</v>
      </c>
      <c r="P11" s="55"/>
      <c r="Q11" s="57"/>
      <c r="R11" s="59"/>
      <c r="S11" s="74"/>
      <c r="T11" s="78"/>
      <c r="U11" s="89"/>
      <c r="V11" s="81"/>
      <c r="W11" s="81"/>
      <c r="X11" s="85"/>
    </row>
    <row r="12" spans="2:24" ht="15" thickBot="1" x14ac:dyDescent="0.4">
      <c r="B12" s="10" t="s">
        <v>60</v>
      </c>
      <c r="C12" s="7" t="s">
        <v>50</v>
      </c>
      <c r="D12" s="19" t="s">
        <v>61</v>
      </c>
      <c r="E12" s="29">
        <v>85</v>
      </c>
      <c r="F12" s="42">
        <v>150</v>
      </c>
      <c r="G12" s="42">
        <v>175.6</v>
      </c>
      <c r="H12" s="42">
        <v>1.83</v>
      </c>
      <c r="I12" s="42">
        <v>1.7</v>
      </c>
      <c r="J12" s="34"/>
      <c r="L12" s="48" t="s">
        <v>50</v>
      </c>
      <c r="M12" s="49" t="s">
        <v>63</v>
      </c>
      <c r="N12" s="49" t="s">
        <v>20</v>
      </c>
      <c r="O12" s="30" t="s">
        <v>159</v>
      </c>
      <c r="P12" s="54" t="s">
        <v>48</v>
      </c>
      <c r="Q12" s="69" t="s">
        <v>177</v>
      </c>
      <c r="R12" s="70">
        <v>2</v>
      </c>
      <c r="S12" s="73">
        <v>4.32</v>
      </c>
      <c r="T12" s="77">
        <f>S12/2</f>
        <v>2.16</v>
      </c>
      <c r="U12" s="94" t="s">
        <v>191</v>
      </c>
      <c r="V12" s="80">
        <f>13.7/T12</f>
        <v>6.3425925925925917</v>
      </c>
      <c r="W12" s="80">
        <f>V12*S12</f>
        <v>27.4</v>
      </c>
      <c r="X12" s="84">
        <f>W12/2</f>
        <v>13.7</v>
      </c>
    </row>
    <row r="13" spans="2:24" x14ac:dyDescent="0.35">
      <c r="B13" s="9" t="s">
        <v>65</v>
      </c>
      <c r="C13" t="s">
        <v>66</v>
      </c>
      <c r="D13" s="26" t="s">
        <v>67</v>
      </c>
      <c r="E13" s="28">
        <v>46</v>
      </c>
      <c r="F13" s="22">
        <v>99.4</v>
      </c>
      <c r="G13" s="22">
        <v>108.2</v>
      </c>
      <c r="H13" s="22">
        <v>1.86</v>
      </c>
      <c r="I13" s="22">
        <v>2.5099999999999998</v>
      </c>
      <c r="J13" s="46"/>
      <c r="L13" s="50"/>
      <c r="M13" s="47" t="s">
        <v>69</v>
      </c>
      <c r="N13" s="47" t="s">
        <v>25</v>
      </c>
      <c r="O13" s="31" t="s">
        <v>160</v>
      </c>
      <c r="P13" s="54" t="s">
        <v>170</v>
      </c>
      <c r="Q13" s="69"/>
      <c r="R13" s="70"/>
      <c r="S13" s="73"/>
      <c r="T13" s="77">
        <f>S12/2</f>
        <v>2.16</v>
      </c>
      <c r="U13" s="88" t="s">
        <v>191</v>
      </c>
      <c r="V13" s="80"/>
      <c r="W13" s="80"/>
      <c r="X13" s="84"/>
    </row>
    <row r="14" spans="2:24" x14ac:dyDescent="0.35">
      <c r="B14" s="9" t="s">
        <v>71</v>
      </c>
      <c r="C14" t="s">
        <v>66</v>
      </c>
      <c r="D14" s="18" t="s">
        <v>72</v>
      </c>
      <c r="E14" s="28">
        <v>306</v>
      </c>
      <c r="F14" s="22">
        <v>79.2</v>
      </c>
      <c r="G14" s="22">
        <v>268</v>
      </c>
      <c r="H14" s="22">
        <v>2.27</v>
      </c>
      <c r="I14" s="22">
        <v>0.39</v>
      </c>
      <c r="J14" s="46" t="s">
        <v>136</v>
      </c>
      <c r="L14" s="50"/>
      <c r="M14" s="47" t="s">
        <v>74</v>
      </c>
      <c r="N14" s="47" t="s">
        <v>163</v>
      </c>
      <c r="O14" s="31" t="s">
        <v>34</v>
      </c>
      <c r="P14" s="54"/>
      <c r="Q14" s="69"/>
      <c r="R14" s="70"/>
      <c r="S14" s="73"/>
      <c r="T14" s="77"/>
      <c r="U14" s="88"/>
      <c r="V14" s="80"/>
      <c r="W14" s="80"/>
      <c r="X14" s="84"/>
    </row>
    <row r="15" spans="2:24" ht="15" thickBot="1" x14ac:dyDescent="0.4">
      <c r="B15" s="9" t="s">
        <v>76</v>
      </c>
      <c r="C15" t="s">
        <v>66</v>
      </c>
      <c r="D15" s="18" t="s">
        <v>77</v>
      </c>
      <c r="E15" s="28">
        <v>114</v>
      </c>
      <c r="F15" s="22">
        <v>107</v>
      </c>
      <c r="G15" s="22">
        <v>143.30000000000001</v>
      </c>
      <c r="H15" s="22">
        <v>1.86</v>
      </c>
      <c r="I15" s="22">
        <v>2.0499999999999998</v>
      </c>
      <c r="J15" s="46"/>
      <c r="L15" s="51"/>
      <c r="M15" s="52" t="s">
        <v>79</v>
      </c>
      <c r="N15" s="52" t="s">
        <v>37</v>
      </c>
      <c r="O15" s="32" t="s">
        <v>164</v>
      </c>
      <c r="P15" s="55"/>
      <c r="Q15" s="59"/>
      <c r="R15" s="63"/>
      <c r="S15" s="74"/>
      <c r="T15" s="77"/>
      <c r="U15" s="89"/>
      <c r="V15" s="81"/>
      <c r="W15" s="81"/>
      <c r="X15" s="85"/>
    </row>
    <row r="16" spans="2:24" x14ac:dyDescent="0.35">
      <c r="B16" s="8" t="s">
        <v>81</v>
      </c>
      <c r="C16" s="6" t="s">
        <v>82</v>
      </c>
      <c r="D16" s="2" t="s">
        <v>83</v>
      </c>
      <c r="E16" s="27">
        <v>85</v>
      </c>
      <c r="F16" s="41">
        <v>116</v>
      </c>
      <c r="G16" s="41">
        <v>143.4</v>
      </c>
      <c r="H16" s="41">
        <v>1.86</v>
      </c>
      <c r="I16" s="41">
        <v>2.2000000000000002</v>
      </c>
      <c r="J16" s="45"/>
      <c r="L16" s="50" t="s">
        <v>66</v>
      </c>
      <c r="M16" s="47" t="s">
        <v>85</v>
      </c>
      <c r="N16" s="47" t="s">
        <v>20</v>
      </c>
      <c r="O16" s="31" t="s">
        <v>146</v>
      </c>
      <c r="P16" s="53" t="s">
        <v>54</v>
      </c>
      <c r="Q16" s="58" t="s">
        <v>173</v>
      </c>
      <c r="R16" s="58" t="s">
        <v>182</v>
      </c>
      <c r="S16" s="75">
        <v>10.4</v>
      </c>
      <c r="T16" s="82">
        <f>S16/3</f>
        <v>3.4666666666666668</v>
      </c>
      <c r="U16" s="87" t="s">
        <v>191</v>
      </c>
      <c r="V16" s="79">
        <f>13.7/T17</f>
        <v>3.9519230769230766</v>
      </c>
      <c r="W16" s="79">
        <f>V16*S16</f>
        <v>41.1</v>
      </c>
      <c r="X16" s="83">
        <f>W16/3</f>
        <v>13.700000000000001</v>
      </c>
    </row>
    <row r="17" spans="2:24" x14ac:dyDescent="0.35">
      <c r="B17" s="9" t="s">
        <v>87</v>
      </c>
      <c r="C17" t="s">
        <v>82</v>
      </c>
      <c r="D17" s="18" t="s">
        <v>88</v>
      </c>
      <c r="E17" s="28">
        <v>78</v>
      </c>
      <c r="F17" s="22">
        <v>95.4</v>
      </c>
      <c r="G17" s="22">
        <v>121.7</v>
      </c>
      <c r="H17" s="22">
        <v>1.86</v>
      </c>
      <c r="I17" s="22">
        <v>2.27</v>
      </c>
      <c r="J17" s="46" t="s">
        <v>141</v>
      </c>
      <c r="L17" s="50"/>
      <c r="M17" s="47" t="s">
        <v>90</v>
      </c>
      <c r="N17" s="47" t="s">
        <v>25</v>
      </c>
      <c r="O17" s="31" t="s">
        <v>144</v>
      </c>
      <c r="P17" s="54" t="s">
        <v>59</v>
      </c>
      <c r="Q17" s="69"/>
      <c r="R17" s="69"/>
      <c r="S17" s="86"/>
      <c r="T17" s="77">
        <f>S16/3</f>
        <v>3.4666666666666668</v>
      </c>
      <c r="U17" s="88" t="s">
        <v>191</v>
      </c>
      <c r="V17" s="80"/>
      <c r="W17" s="80"/>
      <c r="X17" s="84"/>
    </row>
    <row r="18" spans="2:24" ht="15" thickBot="1" x14ac:dyDescent="0.4">
      <c r="B18" s="10" t="s">
        <v>92</v>
      </c>
      <c r="C18" s="7" t="s">
        <v>82</v>
      </c>
      <c r="D18" s="3" t="s">
        <v>93</v>
      </c>
      <c r="E18" s="29">
        <v>37</v>
      </c>
      <c r="F18" s="42">
        <v>57</v>
      </c>
      <c r="G18" s="42">
        <v>74.900000000000006</v>
      </c>
      <c r="H18" s="42">
        <v>2.85</v>
      </c>
      <c r="I18" s="42">
        <v>2.2799999999999998</v>
      </c>
      <c r="J18" s="34"/>
      <c r="L18" s="50"/>
      <c r="M18" s="47" t="s">
        <v>95</v>
      </c>
      <c r="N18" s="47" t="s">
        <v>163</v>
      </c>
      <c r="O18" s="31" t="s">
        <v>145</v>
      </c>
      <c r="P18" s="54" t="s">
        <v>165</v>
      </c>
      <c r="Q18" s="69"/>
      <c r="R18" s="69"/>
      <c r="S18" s="86"/>
      <c r="T18" s="77">
        <f>S16/3</f>
        <v>3.4666666666666668</v>
      </c>
      <c r="U18" s="88" t="s">
        <v>191</v>
      </c>
      <c r="V18" s="80"/>
      <c r="W18" s="80"/>
      <c r="X18" s="84"/>
    </row>
    <row r="19" spans="2:24" ht="15" thickBot="1" x14ac:dyDescent="0.4">
      <c r="B19" s="9" t="s">
        <v>96</v>
      </c>
      <c r="C19" t="s">
        <v>97</v>
      </c>
      <c r="D19" s="18" t="s">
        <v>98</v>
      </c>
      <c r="E19" s="28">
        <v>586</v>
      </c>
      <c r="F19" s="22">
        <v>89.6</v>
      </c>
      <c r="G19" s="22">
        <v>105.7</v>
      </c>
      <c r="H19" s="22">
        <v>1.84</v>
      </c>
      <c r="I19" s="22">
        <v>2.13</v>
      </c>
      <c r="J19" s="46"/>
      <c r="L19" s="50"/>
      <c r="M19" s="47" t="s">
        <v>100</v>
      </c>
      <c r="N19" s="47" t="s">
        <v>37</v>
      </c>
      <c r="O19" s="31" t="s">
        <v>164</v>
      </c>
      <c r="P19" s="55"/>
      <c r="Q19" s="59"/>
      <c r="R19" s="59"/>
      <c r="S19" s="76"/>
      <c r="T19" s="77"/>
      <c r="U19" s="89"/>
      <c r="V19" s="81"/>
      <c r="W19" s="81"/>
      <c r="X19" s="85"/>
    </row>
    <row r="20" spans="2:24" x14ac:dyDescent="0.35">
      <c r="B20" s="9" t="s">
        <v>101</v>
      </c>
      <c r="C20" t="s">
        <v>97</v>
      </c>
      <c r="D20" s="18" t="s">
        <v>102</v>
      </c>
      <c r="E20" s="28">
        <v>107</v>
      </c>
      <c r="F20" s="22">
        <v>118</v>
      </c>
      <c r="G20" s="22">
        <v>151.80000000000001</v>
      </c>
      <c r="H20" s="22">
        <v>1.84</v>
      </c>
      <c r="I20" s="22">
        <v>2.2799999999999998</v>
      </c>
      <c r="J20" s="31" t="s">
        <v>142</v>
      </c>
      <c r="L20" s="48" t="s">
        <v>82</v>
      </c>
      <c r="M20" s="49" t="s">
        <v>104</v>
      </c>
      <c r="N20" s="49" t="s">
        <v>20</v>
      </c>
      <c r="O20" s="30" t="s">
        <v>161</v>
      </c>
      <c r="P20" s="53" t="s">
        <v>166</v>
      </c>
      <c r="Q20" s="56" t="s">
        <v>175</v>
      </c>
      <c r="R20" s="58" t="s">
        <v>181</v>
      </c>
      <c r="S20" s="75">
        <v>10</v>
      </c>
      <c r="T20" s="82">
        <f>S20/2</f>
        <v>5</v>
      </c>
      <c r="U20" s="87" t="s">
        <v>191</v>
      </c>
      <c r="V20" s="79">
        <f>13.7/5</f>
        <v>2.7399999999999998</v>
      </c>
      <c r="W20" s="79">
        <f>V20*S20</f>
        <v>27.4</v>
      </c>
      <c r="X20" s="83">
        <f>W20/2</f>
        <v>13.7</v>
      </c>
    </row>
    <row r="21" spans="2:24" ht="15" thickBot="1" x14ac:dyDescent="0.4">
      <c r="B21" s="9" t="s">
        <v>105</v>
      </c>
      <c r="C21" t="s">
        <v>97</v>
      </c>
      <c r="D21" s="26" t="s">
        <v>106</v>
      </c>
      <c r="E21" s="28">
        <v>107</v>
      </c>
      <c r="F21" s="22">
        <v>142</v>
      </c>
      <c r="G21" s="22">
        <v>182.9</v>
      </c>
      <c r="H21" s="22">
        <v>1.84</v>
      </c>
      <c r="I21" s="22">
        <v>1.92</v>
      </c>
      <c r="J21" s="31"/>
      <c r="L21" s="50"/>
      <c r="M21" s="47" t="s">
        <v>108</v>
      </c>
      <c r="N21" s="47" t="s">
        <v>25</v>
      </c>
      <c r="O21" s="31" t="s">
        <v>34</v>
      </c>
      <c r="P21" s="54"/>
      <c r="Q21" s="71"/>
      <c r="R21" s="69"/>
      <c r="S21" s="86"/>
      <c r="T21" s="77">
        <f>S20/2</f>
        <v>5</v>
      </c>
      <c r="U21" s="88" t="s">
        <v>191</v>
      </c>
      <c r="V21" s="80"/>
      <c r="W21" s="80"/>
      <c r="X21" s="84"/>
    </row>
    <row r="22" spans="2:24" x14ac:dyDescent="0.35">
      <c r="B22" s="8" t="s">
        <v>109</v>
      </c>
      <c r="C22" s="6" t="s">
        <v>110</v>
      </c>
      <c r="D22" s="2" t="s">
        <v>111</v>
      </c>
      <c r="E22" s="27">
        <v>109</v>
      </c>
      <c r="F22" s="41">
        <v>145</v>
      </c>
      <c r="G22" s="41">
        <v>187.7</v>
      </c>
      <c r="H22" s="41">
        <v>1.85</v>
      </c>
      <c r="I22" s="41">
        <v>1.85</v>
      </c>
      <c r="J22" s="30"/>
      <c r="L22" s="50"/>
      <c r="M22" s="47" t="s">
        <v>112</v>
      </c>
      <c r="N22" s="47" t="s">
        <v>163</v>
      </c>
      <c r="O22" s="31" t="s">
        <v>34</v>
      </c>
      <c r="P22" s="54"/>
      <c r="Q22" s="71"/>
      <c r="R22" s="69"/>
      <c r="S22" s="86"/>
      <c r="T22" s="77"/>
      <c r="U22" s="88"/>
      <c r="V22" s="80"/>
      <c r="W22" s="80"/>
      <c r="X22" s="84"/>
    </row>
    <row r="23" spans="2:24" ht="15" thickBot="1" x14ac:dyDescent="0.4">
      <c r="B23" s="9" t="s">
        <v>113</v>
      </c>
      <c r="C23" t="s">
        <v>110</v>
      </c>
      <c r="D23" s="18" t="s">
        <v>114</v>
      </c>
      <c r="E23" s="28">
        <v>88</v>
      </c>
      <c r="F23" s="22">
        <v>117</v>
      </c>
      <c r="G23" s="22">
        <v>171.9</v>
      </c>
      <c r="H23" s="22">
        <v>2</v>
      </c>
      <c r="I23" s="22">
        <v>0.73</v>
      </c>
      <c r="J23" s="31" t="s">
        <v>137</v>
      </c>
      <c r="L23" s="51"/>
      <c r="M23" s="52" t="s">
        <v>115</v>
      </c>
      <c r="N23" s="52" t="s">
        <v>37</v>
      </c>
      <c r="O23" s="32">
        <v>113</v>
      </c>
      <c r="P23" s="55" t="s">
        <v>64</v>
      </c>
      <c r="Q23" s="57"/>
      <c r="R23" s="59"/>
      <c r="S23" s="76"/>
      <c r="T23" s="77"/>
      <c r="U23" s="89"/>
      <c r="V23" s="81"/>
      <c r="W23" s="81"/>
      <c r="X23" s="85"/>
    </row>
    <row r="24" spans="2:24" ht="15" thickBot="1" x14ac:dyDescent="0.4">
      <c r="B24" s="10" t="s">
        <v>116</v>
      </c>
      <c r="C24" s="7" t="s">
        <v>110</v>
      </c>
      <c r="D24" s="3" t="s">
        <v>117</v>
      </c>
      <c r="E24" s="29">
        <v>10</v>
      </c>
      <c r="F24" s="42">
        <v>18.2</v>
      </c>
      <c r="G24" s="42">
        <v>26.5</v>
      </c>
      <c r="H24" s="42">
        <v>5.84</v>
      </c>
      <c r="I24" s="42">
        <v>0.12</v>
      </c>
      <c r="J24" s="32"/>
      <c r="L24" s="50" t="s">
        <v>97</v>
      </c>
      <c r="M24" s="47" t="s">
        <v>118</v>
      </c>
      <c r="N24" s="47" t="s">
        <v>20</v>
      </c>
      <c r="O24" s="33" t="s">
        <v>154</v>
      </c>
      <c r="P24" s="53" t="s">
        <v>70</v>
      </c>
      <c r="Q24" s="58" t="s">
        <v>176</v>
      </c>
      <c r="R24" s="62" t="s">
        <v>34</v>
      </c>
      <c r="S24" s="72">
        <v>7.82</v>
      </c>
      <c r="T24" s="82">
        <f>S24/3</f>
        <v>2.6066666666666669</v>
      </c>
      <c r="U24" s="87" t="s">
        <v>191</v>
      </c>
      <c r="V24" s="79">
        <f>13.7/T25</f>
        <v>5.2557544757033243</v>
      </c>
      <c r="W24" s="79">
        <f>V24*S24</f>
        <v>41.099999999999994</v>
      </c>
      <c r="X24" s="83">
        <f>W24/3</f>
        <v>13.699999999999998</v>
      </c>
    </row>
    <row r="25" spans="2:24" x14ac:dyDescent="0.35">
      <c r="L25" s="50"/>
      <c r="M25" s="47" t="s">
        <v>119</v>
      </c>
      <c r="N25" s="47" t="s">
        <v>25</v>
      </c>
      <c r="O25" s="31" t="s">
        <v>153</v>
      </c>
      <c r="P25" s="54" t="s">
        <v>75</v>
      </c>
      <c r="Q25" s="69"/>
      <c r="R25" s="70"/>
      <c r="S25" s="73"/>
      <c r="T25" s="77">
        <f>S24/3</f>
        <v>2.6066666666666669</v>
      </c>
      <c r="U25" s="88" t="s">
        <v>191</v>
      </c>
      <c r="V25" s="80"/>
      <c r="W25" s="80"/>
      <c r="X25" s="84"/>
    </row>
    <row r="26" spans="2:24" x14ac:dyDescent="0.35">
      <c r="L26" s="50"/>
      <c r="M26" s="47" t="s">
        <v>120</v>
      </c>
      <c r="N26" s="47" t="s">
        <v>163</v>
      </c>
      <c r="O26" s="33" t="s">
        <v>154</v>
      </c>
      <c r="P26" s="54" t="s">
        <v>80</v>
      </c>
      <c r="Q26" s="69"/>
      <c r="R26" s="70"/>
      <c r="S26" s="73"/>
      <c r="T26" s="77">
        <f>S24/3</f>
        <v>2.6066666666666669</v>
      </c>
      <c r="U26" s="88" t="s">
        <v>191</v>
      </c>
      <c r="V26" s="80"/>
      <c r="W26" s="80"/>
      <c r="X26" s="84"/>
    </row>
    <row r="27" spans="2:24" ht="15" thickBot="1" x14ac:dyDescent="0.4">
      <c r="L27" s="50"/>
      <c r="M27" s="47" t="s">
        <v>121</v>
      </c>
      <c r="N27" s="47" t="s">
        <v>37</v>
      </c>
      <c r="O27" s="31" t="s">
        <v>164</v>
      </c>
      <c r="P27" s="55"/>
      <c r="Q27" s="59"/>
      <c r="R27" s="63"/>
      <c r="S27" s="74"/>
      <c r="T27" s="77"/>
      <c r="U27" s="89"/>
      <c r="V27" s="81"/>
      <c r="W27" s="81"/>
      <c r="X27" s="85"/>
    </row>
    <row r="28" spans="2:24" x14ac:dyDescent="0.35">
      <c r="B28" s="1"/>
      <c r="L28" s="48" t="s">
        <v>110</v>
      </c>
      <c r="M28" s="49" t="s">
        <v>122</v>
      </c>
      <c r="N28" s="49" t="s">
        <v>20</v>
      </c>
      <c r="O28" s="30" t="s">
        <v>147</v>
      </c>
      <c r="P28" s="53" t="s">
        <v>86</v>
      </c>
      <c r="Q28" s="58" t="s">
        <v>174</v>
      </c>
      <c r="R28" s="58" t="s">
        <v>180</v>
      </c>
      <c r="S28" s="75">
        <v>13.5</v>
      </c>
      <c r="T28" s="82">
        <f>S28/3</f>
        <v>4.5</v>
      </c>
      <c r="U28" s="87" t="s">
        <v>191</v>
      </c>
      <c r="V28" s="79">
        <f>13.7/T29</f>
        <v>3.0444444444444443</v>
      </c>
      <c r="W28" s="79">
        <f>V28*S28</f>
        <v>41.099999999999994</v>
      </c>
      <c r="X28" s="83">
        <f>W28/3</f>
        <v>13.699999999999998</v>
      </c>
    </row>
    <row r="29" spans="2:24" x14ac:dyDescent="0.35">
      <c r="B29" s="1"/>
      <c r="C29" s="13" t="s">
        <v>123</v>
      </c>
      <c r="L29" s="50"/>
      <c r="M29" s="47" t="s">
        <v>124</v>
      </c>
      <c r="N29" s="47" t="s">
        <v>25</v>
      </c>
      <c r="O29" s="31" t="s">
        <v>149</v>
      </c>
      <c r="P29" s="54" t="s">
        <v>91</v>
      </c>
      <c r="Q29" s="69"/>
      <c r="R29" s="69"/>
      <c r="S29" s="86"/>
      <c r="T29" s="77">
        <f>S28/3</f>
        <v>4.5</v>
      </c>
      <c r="U29" s="88" t="s">
        <v>191</v>
      </c>
      <c r="V29" s="80"/>
      <c r="W29" s="80"/>
      <c r="X29" s="84"/>
    </row>
    <row r="30" spans="2:24" x14ac:dyDescent="0.35">
      <c r="B30" s="1"/>
      <c r="C30" s="13" t="s">
        <v>125</v>
      </c>
      <c r="L30" s="50"/>
      <c r="M30" s="47" t="s">
        <v>126</v>
      </c>
      <c r="N30" s="47" t="s">
        <v>163</v>
      </c>
      <c r="O30" s="31" t="s">
        <v>148</v>
      </c>
      <c r="P30" s="54" t="s">
        <v>167</v>
      </c>
      <c r="Q30" s="69"/>
      <c r="R30" s="69"/>
      <c r="S30" s="86"/>
      <c r="T30" s="77">
        <f>S28/3</f>
        <v>4.5</v>
      </c>
      <c r="U30" s="88" t="s">
        <v>191</v>
      </c>
      <c r="V30" s="80"/>
      <c r="W30" s="80"/>
      <c r="X30" s="84"/>
    </row>
    <row r="31" spans="2:24" ht="15" thickBot="1" x14ac:dyDescent="0.4">
      <c r="B31" s="1"/>
      <c r="C31" s="13" t="s">
        <v>127</v>
      </c>
      <c r="L31" s="51"/>
      <c r="M31" s="52" t="s">
        <v>128</v>
      </c>
      <c r="N31" s="52" t="s">
        <v>37</v>
      </c>
      <c r="O31" s="32" t="s">
        <v>164</v>
      </c>
      <c r="P31" s="55"/>
      <c r="Q31" s="59"/>
      <c r="R31" s="59"/>
      <c r="S31" s="76"/>
      <c r="T31" s="78"/>
      <c r="U31" s="89"/>
      <c r="V31" s="81"/>
      <c r="W31" s="81"/>
      <c r="X31" s="85"/>
    </row>
    <row r="32" spans="2:24" x14ac:dyDescent="0.35">
      <c r="B32" s="1"/>
      <c r="C32" s="13" t="s">
        <v>129</v>
      </c>
      <c r="O32" s="16"/>
      <c r="P32" s="1"/>
      <c r="T32" s="91" t="s">
        <v>185</v>
      </c>
      <c r="U32" s="91"/>
      <c r="V32" s="92">
        <f>SUM(V4:V30)</f>
        <v>35.287776330554124</v>
      </c>
      <c r="W32" s="92">
        <f>SUM(W4:W31)</f>
        <v>274</v>
      </c>
      <c r="X32" s="35"/>
    </row>
    <row r="33" spans="2:22" x14ac:dyDescent="0.35">
      <c r="B33" s="1"/>
      <c r="C33" s="13" t="s">
        <v>188</v>
      </c>
      <c r="O33" s="16"/>
    </row>
    <row r="34" spans="2:22" x14ac:dyDescent="0.35">
      <c r="B34" s="1"/>
      <c r="C34" s="13" t="s">
        <v>193</v>
      </c>
      <c r="O34" s="16"/>
      <c r="U34" s="90">
        <f>AVERAGE(S4:S31)</f>
        <v>8.6342857142857135</v>
      </c>
      <c r="V34" s="90"/>
    </row>
    <row r="35" spans="2:22" x14ac:dyDescent="0.35">
      <c r="B35" s="1"/>
      <c r="O35" s="16"/>
      <c r="U35" s="90" t="s">
        <v>183</v>
      </c>
      <c r="V35" s="90" t="s">
        <v>184</v>
      </c>
    </row>
    <row r="36" spans="2:22" x14ac:dyDescent="0.35">
      <c r="B36" s="1"/>
      <c r="O36" s="16"/>
    </row>
    <row r="37" spans="2:22" x14ac:dyDescent="0.35">
      <c r="B37" s="1"/>
      <c r="J37" s="18"/>
      <c r="O37" s="16"/>
    </row>
    <row r="38" spans="2:22" x14ac:dyDescent="0.35">
      <c r="B38" s="1"/>
      <c r="J38" s="18"/>
    </row>
    <row r="39" spans="2:22" x14ac:dyDescent="0.35">
      <c r="B39" s="1"/>
      <c r="J39" s="18"/>
    </row>
    <row r="40" spans="2:22" x14ac:dyDescent="0.35">
      <c r="B40" s="1"/>
    </row>
    <row r="41" spans="2:22" x14ac:dyDescent="0.35">
      <c r="B41" s="1"/>
    </row>
    <row r="42" spans="2:22" x14ac:dyDescent="0.35">
      <c r="B42" s="1"/>
    </row>
    <row r="43" spans="2:22" x14ac:dyDescent="0.35">
      <c r="B43" s="1"/>
    </row>
    <row r="44" spans="2:22" x14ac:dyDescent="0.35">
      <c r="B44" s="1"/>
    </row>
    <row r="45" spans="2:22" x14ac:dyDescent="0.35">
      <c r="B45" s="1"/>
    </row>
    <row r="46" spans="2:22" x14ac:dyDescent="0.35">
      <c r="B46" s="1"/>
    </row>
    <row r="47" spans="2:22" x14ac:dyDescent="0.35">
      <c r="B47" s="1"/>
    </row>
    <row r="48" spans="2:22" x14ac:dyDescent="0.35">
      <c r="B48" s="1"/>
    </row>
  </sheetData>
  <mergeCells count="46">
    <mergeCell ref="X24:X27"/>
    <mergeCell ref="X28:X31"/>
    <mergeCell ref="X4:X7"/>
    <mergeCell ref="X8:X11"/>
    <mergeCell ref="X12:X15"/>
    <mergeCell ref="X16:X19"/>
    <mergeCell ref="X20:X23"/>
    <mergeCell ref="V24:V27"/>
    <mergeCell ref="V28:V31"/>
    <mergeCell ref="W4:W7"/>
    <mergeCell ref="W8:W11"/>
    <mergeCell ref="W12:W15"/>
    <mergeCell ref="W16:W19"/>
    <mergeCell ref="W20:W23"/>
    <mergeCell ref="W24:W27"/>
    <mergeCell ref="W28:W31"/>
    <mergeCell ref="V4:V7"/>
    <mergeCell ref="V8:V11"/>
    <mergeCell ref="V12:V15"/>
    <mergeCell ref="V16:V19"/>
    <mergeCell ref="V20:V23"/>
    <mergeCell ref="S12:S15"/>
    <mergeCell ref="S16:S19"/>
    <mergeCell ref="S20:S23"/>
    <mergeCell ref="S24:S27"/>
    <mergeCell ref="S28:S31"/>
    <mergeCell ref="G1:I1"/>
    <mergeCell ref="Q4:Q7"/>
    <mergeCell ref="Q8:Q11"/>
    <mergeCell ref="Q12:Q15"/>
    <mergeCell ref="P1:R1"/>
    <mergeCell ref="Q16:Q19"/>
    <mergeCell ref="Q20:Q23"/>
    <mergeCell ref="Q24:Q27"/>
    <mergeCell ref="Q28:Q31"/>
    <mergeCell ref="L1:O1"/>
    <mergeCell ref="R4:R7"/>
    <mergeCell ref="R8:R11"/>
    <mergeCell ref="R12:R15"/>
    <mergeCell ref="R16:R19"/>
    <mergeCell ref="R20:R23"/>
    <mergeCell ref="R24:R27"/>
    <mergeCell ref="R28:R31"/>
    <mergeCell ref="S1:X1"/>
    <mergeCell ref="S4:S7"/>
    <mergeCell ref="S8:S1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D44D-6EBC-42F2-9AFE-4CB457C2CF26}">
  <dimension ref="B1:I23"/>
  <sheetViews>
    <sheetView topLeftCell="E1" zoomScaleNormal="100" workbookViewId="0">
      <selection activeCell="K50" sqref="K50"/>
    </sheetView>
  </sheetViews>
  <sheetFormatPr defaultRowHeight="14.5" x14ac:dyDescent="0.35"/>
  <cols>
    <col min="1" max="1" width="10.1796875" customWidth="1"/>
    <col min="2" max="2" width="10.453125" customWidth="1"/>
    <col min="7" max="7" width="14.54296875" customWidth="1"/>
    <col min="8" max="8" width="15.1796875" customWidth="1"/>
  </cols>
  <sheetData>
    <row r="1" spans="2:9" x14ac:dyDescent="0.35">
      <c r="B1" s="24" t="s">
        <v>130</v>
      </c>
      <c r="C1" s="24" t="s">
        <v>131</v>
      </c>
      <c r="D1" s="24" t="s">
        <v>132</v>
      </c>
      <c r="E1" s="24" t="s">
        <v>6</v>
      </c>
      <c r="F1" s="24" t="s">
        <v>7</v>
      </c>
      <c r="G1" s="24" t="s">
        <v>133</v>
      </c>
      <c r="H1" s="24" t="s">
        <v>134</v>
      </c>
      <c r="I1" s="24" t="s">
        <v>135</v>
      </c>
    </row>
    <row r="2" spans="2:9" x14ac:dyDescent="0.35">
      <c r="B2" s="25">
        <v>1</v>
      </c>
      <c r="C2" s="25">
        <v>141</v>
      </c>
      <c r="D2" s="25">
        <v>204.3</v>
      </c>
      <c r="E2" s="25">
        <v>1.89</v>
      </c>
      <c r="F2" s="25">
        <v>0.83</v>
      </c>
      <c r="G2" s="25">
        <v>2</v>
      </c>
      <c r="H2" s="25">
        <v>1</v>
      </c>
      <c r="I2" s="25">
        <v>1.1000000000000001</v>
      </c>
    </row>
    <row r="3" spans="2:9" x14ac:dyDescent="0.35">
      <c r="B3" s="25">
        <v>2</v>
      </c>
      <c r="C3" s="25">
        <v>174</v>
      </c>
      <c r="D3" s="25">
        <v>218.4</v>
      </c>
      <c r="E3" s="25">
        <v>1.84</v>
      </c>
      <c r="F3" s="25">
        <v>1.06</v>
      </c>
      <c r="G3" s="25">
        <v>2</v>
      </c>
      <c r="H3" s="25">
        <v>1</v>
      </c>
      <c r="I3" s="25">
        <v>1.2</v>
      </c>
    </row>
    <row r="4" spans="2:9" x14ac:dyDescent="0.35">
      <c r="B4" s="25">
        <v>3</v>
      </c>
      <c r="C4" s="25">
        <v>178</v>
      </c>
      <c r="D4" s="25">
        <v>256.8</v>
      </c>
      <c r="E4" s="25">
        <v>1.86</v>
      </c>
      <c r="F4" s="25">
        <v>1.19</v>
      </c>
      <c r="G4" s="25">
        <v>2</v>
      </c>
      <c r="H4" s="25">
        <v>1</v>
      </c>
      <c r="I4" s="25">
        <v>1.3</v>
      </c>
    </row>
    <row r="5" spans="2:9" x14ac:dyDescent="0.35">
      <c r="B5" s="25">
        <v>4</v>
      </c>
      <c r="C5" s="25">
        <v>24.8</v>
      </c>
      <c r="D5" s="25">
        <v>32.799999999999997</v>
      </c>
      <c r="E5" s="25">
        <v>1.86</v>
      </c>
      <c r="F5" s="25">
        <v>1.58</v>
      </c>
      <c r="G5" s="25">
        <v>4</v>
      </c>
      <c r="H5" s="25">
        <v>2</v>
      </c>
      <c r="I5" s="25" t="s">
        <v>46</v>
      </c>
    </row>
    <row r="6" spans="2:9" x14ac:dyDescent="0.35">
      <c r="B6" s="25">
        <v>5</v>
      </c>
      <c r="C6" s="25" t="s">
        <v>34</v>
      </c>
      <c r="D6" s="25">
        <v>2.4</v>
      </c>
      <c r="E6" s="25">
        <v>1.53</v>
      </c>
      <c r="F6" s="25">
        <v>3.94</v>
      </c>
      <c r="G6" s="25">
        <v>6</v>
      </c>
      <c r="H6" s="25">
        <v>2</v>
      </c>
      <c r="I6" s="25" t="s">
        <v>35</v>
      </c>
    </row>
    <row r="7" spans="2:9" x14ac:dyDescent="0.35">
      <c r="B7" s="25">
        <v>6</v>
      </c>
      <c r="C7" s="25" t="s">
        <v>34</v>
      </c>
      <c r="D7" s="25">
        <v>3.7</v>
      </c>
      <c r="E7" s="25">
        <v>1.6</v>
      </c>
      <c r="F7" s="25">
        <v>0.44</v>
      </c>
      <c r="G7" s="25">
        <v>6</v>
      </c>
      <c r="H7" s="25">
        <v>2</v>
      </c>
      <c r="I7" s="25" t="s">
        <v>41</v>
      </c>
    </row>
    <row r="8" spans="2:9" x14ac:dyDescent="0.35">
      <c r="B8" s="25">
        <v>7</v>
      </c>
      <c r="C8" s="25">
        <v>147</v>
      </c>
      <c r="D8" s="25">
        <v>204.2</v>
      </c>
      <c r="E8" s="25">
        <v>1.93</v>
      </c>
      <c r="F8" s="25">
        <v>0.86</v>
      </c>
      <c r="G8" s="25">
        <v>2</v>
      </c>
      <c r="H8" s="25">
        <v>3</v>
      </c>
      <c r="I8" s="25" t="s">
        <v>57</v>
      </c>
    </row>
    <row r="9" spans="2:9" x14ac:dyDescent="0.35">
      <c r="B9" s="25">
        <v>8</v>
      </c>
      <c r="C9" s="25">
        <v>150</v>
      </c>
      <c r="D9" s="25">
        <v>175.6</v>
      </c>
      <c r="E9" s="25">
        <v>1.83</v>
      </c>
      <c r="F9" s="25">
        <v>1.7</v>
      </c>
      <c r="G9" s="25">
        <v>2</v>
      </c>
      <c r="H9" s="25">
        <v>3</v>
      </c>
      <c r="I9" s="25" t="s">
        <v>62</v>
      </c>
    </row>
    <row r="10" spans="2:9" x14ac:dyDescent="0.35">
      <c r="B10" s="25">
        <v>9</v>
      </c>
      <c r="C10" s="25">
        <v>158</v>
      </c>
      <c r="D10" s="25">
        <v>213.7</v>
      </c>
      <c r="E10" s="25">
        <v>1.86</v>
      </c>
      <c r="F10" s="25">
        <v>1.87</v>
      </c>
      <c r="G10" s="25">
        <v>2</v>
      </c>
      <c r="H10" s="25">
        <v>3</v>
      </c>
      <c r="I10" s="25" t="s">
        <v>52</v>
      </c>
    </row>
    <row r="11" spans="2:9" x14ac:dyDescent="0.35">
      <c r="B11" s="25">
        <v>10</v>
      </c>
      <c r="C11" s="25">
        <v>99.4</v>
      </c>
      <c r="D11" s="25">
        <v>108.2</v>
      </c>
      <c r="E11" s="25">
        <v>1.86</v>
      </c>
      <c r="F11" s="25">
        <v>2.5099999999999998</v>
      </c>
      <c r="G11" s="25">
        <v>3</v>
      </c>
      <c r="H11" s="25">
        <v>4</v>
      </c>
      <c r="I11" s="25" t="s">
        <v>68</v>
      </c>
    </row>
    <row r="12" spans="2:9" x14ac:dyDescent="0.35">
      <c r="B12" s="25">
        <v>11</v>
      </c>
      <c r="C12" s="25">
        <v>107</v>
      </c>
      <c r="D12" s="25">
        <v>143.30000000000001</v>
      </c>
      <c r="E12" s="25">
        <v>1.86</v>
      </c>
      <c r="F12" s="25">
        <v>2.0499999999999998</v>
      </c>
      <c r="G12" s="25">
        <v>2</v>
      </c>
      <c r="H12" s="25">
        <v>4</v>
      </c>
      <c r="I12" s="25" t="s">
        <v>78</v>
      </c>
    </row>
    <row r="13" spans="2:9" x14ac:dyDescent="0.35">
      <c r="B13" s="25">
        <v>12</v>
      </c>
      <c r="C13" s="25">
        <v>79.2</v>
      </c>
      <c r="D13" s="25">
        <v>268</v>
      </c>
      <c r="E13" s="25">
        <v>2.27</v>
      </c>
      <c r="F13" s="25">
        <v>0.39</v>
      </c>
      <c r="G13" s="25">
        <v>2</v>
      </c>
      <c r="H13" s="25">
        <v>4</v>
      </c>
      <c r="I13" s="25" t="s">
        <v>73</v>
      </c>
    </row>
    <row r="14" spans="2:9" x14ac:dyDescent="0.35">
      <c r="B14" s="25">
        <v>13</v>
      </c>
      <c r="C14" s="25">
        <v>57</v>
      </c>
      <c r="D14" s="25">
        <v>74.900000000000006</v>
      </c>
      <c r="E14" s="25">
        <v>2.85</v>
      </c>
      <c r="F14" s="25">
        <v>2.2799999999999998</v>
      </c>
      <c r="G14" s="25">
        <v>3</v>
      </c>
      <c r="H14" s="25">
        <v>5</v>
      </c>
      <c r="I14" s="25" t="s">
        <v>94</v>
      </c>
    </row>
    <row r="15" spans="2:9" x14ac:dyDescent="0.35">
      <c r="B15" s="25">
        <v>14</v>
      </c>
      <c r="C15" s="25">
        <v>116</v>
      </c>
      <c r="D15" s="25">
        <v>143.4</v>
      </c>
      <c r="E15" s="25">
        <v>1.86</v>
      </c>
      <c r="F15" s="25">
        <v>2.2000000000000002</v>
      </c>
      <c r="G15" s="25">
        <v>2</v>
      </c>
      <c r="H15" s="25">
        <v>5</v>
      </c>
      <c r="I15" s="25" t="s">
        <v>84</v>
      </c>
    </row>
    <row r="16" spans="2:9" x14ac:dyDescent="0.35">
      <c r="B16" s="25">
        <v>15</v>
      </c>
      <c r="C16" s="25">
        <v>95.4</v>
      </c>
      <c r="D16" s="25">
        <v>121.7</v>
      </c>
      <c r="E16" s="25">
        <v>1.86</v>
      </c>
      <c r="F16" s="25">
        <v>2.27</v>
      </c>
      <c r="G16" s="25">
        <v>2</v>
      </c>
      <c r="H16" s="25">
        <v>5</v>
      </c>
      <c r="I16" s="25" t="s">
        <v>89</v>
      </c>
    </row>
    <row r="17" spans="2:9" x14ac:dyDescent="0.35">
      <c r="B17" s="25">
        <v>16</v>
      </c>
      <c r="C17" s="25">
        <v>118</v>
      </c>
      <c r="D17" s="25">
        <v>151.80000000000001</v>
      </c>
      <c r="E17" s="25">
        <v>1.84</v>
      </c>
      <c r="F17" s="25">
        <v>2.2799999999999998</v>
      </c>
      <c r="G17" s="25">
        <v>2</v>
      </c>
      <c r="H17" s="25">
        <v>6</v>
      </c>
      <c r="I17" s="25" t="s">
        <v>103</v>
      </c>
    </row>
    <row r="18" spans="2:9" x14ac:dyDescent="0.35">
      <c r="B18" s="25">
        <v>17</v>
      </c>
      <c r="C18" s="25">
        <v>142</v>
      </c>
      <c r="D18" s="25">
        <v>182.9</v>
      </c>
      <c r="E18" s="25">
        <v>1.84</v>
      </c>
      <c r="F18" s="25">
        <v>1.92</v>
      </c>
      <c r="G18" s="25">
        <v>2</v>
      </c>
      <c r="H18" s="25">
        <v>6</v>
      </c>
      <c r="I18" s="25" t="s">
        <v>107</v>
      </c>
    </row>
    <row r="19" spans="2:9" x14ac:dyDescent="0.35">
      <c r="B19" s="25">
        <v>18</v>
      </c>
      <c r="C19" s="25">
        <v>89.6</v>
      </c>
      <c r="D19" s="25">
        <v>105.7</v>
      </c>
      <c r="E19" s="25">
        <v>1.84</v>
      </c>
      <c r="F19" s="25">
        <v>2.13</v>
      </c>
      <c r="G19" s="25">
        <v>2</v>
      </c>
      <c r="H19" s="25">
        <v>6</v>
      </c>
      <c r="I19" s="25" t="s">
        <v>99</v>
      </c>
    </row>
    <row r="20" spans="2:9" x14ac:dyDescent="0.35">
      <c r="B20" s="25">
        <v>19</v>
      </c>
      <c r="C20" s="25">
        <v>145</v>
      </c>
      <c r="D20" s="25">
        <v>187.7</v>
      </c>
      <c r="E20" s="25">
        <v>1.85</v>
      </c>
      <c r="F20" s="25">
        <v>1.85</v>
      </c>
      <c r="G20" s="25">
        <v>2</v>
      </c>
      <c r="H20" s="25">
        <v>7</v>
      </c>
      <c r="I20" s="25">
        <v>7.1</v>
      </c>
    </row>
    <row r="21" spans="2:9" x14ac:dyDescent="0.35">
      <c r="B21" s="25">
        <v>20</v>
      </c>
      <c r="C21" s="25">
        <v>117</v>
      </c>
      <c r="D21" s="25">
        <v>171.9</v>
      </c>
      <c r="E21" s="25">
        <v>2</v>
      </c>
      <c r="F21" s="25">
        <v>0.73</v>
      </c>
      <c r="G21" s="25">
        <v>2</v>
      </c>
      <c r="H21" s="25">
        <v>7</v>
      </c>
      <c r="I21" s="25">
        <v>7.2</v>
      </c>
    </row>
    <row r="22" spans="2:9" x14ac:dyDescent="0.35">
      <c r="B22" s="25">
        <v>21</v>
      </c>
      <c r="C22" s="25">
        <v>18.2</v>
      </c>
      <c r="D22" s="25">
        <v>26.5</v>
      </c>
      <c r="E22" s="25">
        <v>5.84</v>
      </c>
      <c r="F22" s="25">
        <v>0.12</v>
      </c>
      <c r="G22" s="25">
        <v>5</v>
      </c>
      <c r="H22" s="25">
        <v>7</v>
      </c>
      <c r="I22" s="25">
        <v>7.3</v>
      </c>
    </row>
    <row r="23" spans="2:9" x14ac:dyDescent="0.35">
      <c r="B23" s="1"/>
      <c r="C23" s="1"/>
      <c r="D23" s="1"/>
      <c r="E23" s="1"/>
      <c r="F23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3270-864A-4C7A-9384-32D96997A095}">
  <dimension ref="A1"/>
  <sheetViews>
    <sheetView zoomScale="119" workbookViewId="0">
      <selection activeCell="J11" sqref="J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Gel Image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Peter Kent</dc:creator>
  <cp:keywords/>
  <dc:description/>
  <cp:lastModifiedBy>Matthew Peter Kent</cp:lastModifiedBy>
  <cp:revision/>
  <dcterms:created xsi:type="dcterms:W3CDTF">2024-02-09T10:05:45Z</dcterms:created>
  <dcterms:modified xsi:type="dcterms:W3CDTF">2026-02-14T12:50:15Z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2024-02-09T10:14:56Z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11c241e8-f9e4-4bf8-9277-3d77ce264bfd</vt:lpwstr>
  </property>
  <property fmtid="{D5CDD505-2E9C-101B-9397-08002B2CF9AE}" pid="8" name="MSIP_Label_d0484126-3486-41a9-802e-7f1e2277276c_ContentBits">
    <vt:lpwstr>0</vt:lpwstr>
  </property>
</Properties>
</file>